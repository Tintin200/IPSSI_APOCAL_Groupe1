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willi\Documents\Lab\cours\IPSSI_APOCAL_Groupe1\docs\cadrage\"/>
    </mc:Choice>
  </mc:AlternateContent>
  <xr:revisionPtr revIDLastSave="0" documentId="13_ncr:1_{0791B677-C902-4865-8B02-D9D8463F33FF}" xr6:coauthVersionLast="47" xr6:coauthVersionMax="47" xr10:uidLastSave="{00000000-0000-0000-0000-000000000000}"/>
  <bookViews>
    <workbookView xWindow="1815" yWindow="4305" windowWidth="21600" windowHeight="11295" activeTab="3" xr2:uid="{00000000-000D-0000-FFFF-FFFF00000000}"/>
  </bookViews>
  <sheets>
    <sheet name="Release Planning" sheetId="1" r:id="rId1"/>
    <sheet name="Burnup global" sheetId="2" r:id="rId2"/>
    <sheet name="Hypothèses &amp; perturbations" sheetId="3" r:id="rId3"/>
    <sheet name="Auto-évaluatio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</calcChain>
</file>

<file path=xl/sharedStrings.xml><?xml version="1.0" encoding="utf-8"?>
<sst xmlns="http://schemas.openxmlformats.org/spreadsheetml/2006/main" count="226" uniqueCount="192">
  <si>
    <t>RELEASE PLANNING : SEMAINE APOCAL'IPSSI 2026</t>
  </si>
  <si>
    <t>7 sprints x demi-journée + cadrage matinal + soutenance vendredi - version corrigée et complète</t>
  </si>
  <si>
    <t>Équipe n°</t>
  </si>
  <si>
    <t>1</t>
  </si>
  <si>
    <t>Membres</t>
  </si>
  <si>
    <t>Gurvan GODIN, Ayman MOUGOU, Hamza MAEROF, Orokia COULIBALI, William HOANG, Barakissa Yasmine KONE, Omar Kessentini</t>
  </si>
  <si>
    <t>Sprint concerné</t>
  </si>
  <si>
    <t>Cadrage -&gt; Sprint 7</t>
  </si>
  <si>
    <t>Version</t>
  </si>
  <si>
    <t>v1.1 corrigée</t>
  </si>
  <si>
    <t>Date de remise</t>
  </si>
  <si>
    <t>29/06/2026 13h57</t>
  </si>
  <si>
    <t>Statut</t>
  </si>
  <si>
    <t>Draft prêt revue PO</t>
  </si>
  <si>
    <t>Capacité équipe</t>
  </si>
  <si>
    <t>7 personnes</t>
  </si>
  <si>
    <t>Scope initial</t>
  </si>
  <si>
    <t>56 SP</t>
  </si>
  <si>
    <t>Objectif</t>
  </si>
  <si>
    <t>Vue d'ensemble de la semaine : objectifs, stories engagées, capacité réaliste, jalons et perturbations.</t>
  </si>
  <si>
    <t>Correction</t>
  </si>
  <si>
    <t>Les placeholders [US-XX] ont été remplacés, les 5 perturbations sont positionnées, et R1/R2 sont explicites.</t>
  </si>
  <si>
    <t>Convention</t>
  </si>
  <si>
    <t>Fichier conseillé : equipe-01-release-planning-v1.1.xlsx</t>
  </si>
  <si>
    <t>Sprint</t>
  </si>
  <si>
    <t>Jour</t>
  </si>
  <si>
    <t>Horaires</t>
  </si>
  <si>
    <t>Capacité (h-pers)</t>
  </si>
  <si>
    <t>Vélocité cible (SP)</t>
  </si>
  <si>
    <t>Objectif sprint</t>
  </si>
  <si>
    <t>Stories engagées</t>
  </si>
  <si>
    <t>Release / Jalon</t>
  </si>
  <si>
    <t>Cadrage</t>
  </si>
  <si>
    <t>Lundi matin</t>
  </si>
  <si>
    <t>9h00 - 13h30</t>
  </si>
  <si>
    <t>n.c.</t>
  </si>
  <si>
    <t>Produire et aligner les 7 artefacts agiles : Vision, Personas, Customer Journey, Story Map, Release Planning, Product Backlog, Sprint Backlog.</t>
  </si>
  <si>
    <t>✅ Validation PO 14h00</t>
  </si>
  <si>
    <t>Sprint 1</t>
  </si>
  <si>
    <t>Lundi PM</t>
  </si>
  <si>
    <t>14h00 - 18h00</t>
  </si>
  <si>
    <t>8-10</t>
  </si>
  <si>
    <t>Setup technique + démarrage MVP : F1 inscription/connexion et F2 upload cours PDF/texte.</t>
  </si>
  <si>
    <t>US-01, US-02</t>
  </si>
  <si>
    <t>⚡ J1 Mme Lefèvre + Sprint Review 18h</t>
  </si>
  <si>
    <t>Sprint 2</t>
  </si>
  <si>
    <t>Mardi matin</t>
  </si>
  <si>
    <t>9h00 - 12h30</t>
  </si>
  <si>
    <t>Génération quiz F3 : produire 10 QCM en &lt; 60 s via Llama 3.1 8B/Ollama, puis arbitrer la latence.</t>
  </si>
  <si>
    <t>US-03 + ADR-J2</t>
  </si>
  <si>
    <t>⚡ Perturbation J2 10h + Review 12h30</t>
  </si>
  <si>
    <t>Sprint 3</t>
  </si>
  <si>
    <t>Mardi PM</t>
  </si>
  <si>
    <t>Passage du quiz : soumission, correction automatique F4, score /10 et détail F5. Intégrer les décisions ADR-J2.</t>
  </si>
  <si>
    <t>US-04, US-05</t>
  </si>
  <si>
    <t>✅ Sprint Review 18h</t>
  </si>
  <si>
    <t>Sprint 4</t>
  </si>
  <si>
    <t>Mercredi matin</t>
  </si>
  <si>
    <t>Historique F6 + sécurisation IA : protection contre prompt injection et réponses non conformes.</t>
  </si>
  <si>
    <t>US-06 + SEC-J3</t>
  </si>
  <si>
    <t>⚡ Perturbation J3 10h + Review 12h30</t>
  </si>
  <si>
    <t>Sprint 5</t>
  </si>
  <si>
    <t>Mercredi PM</t>
  </si>
  <si>
    <t>Conformité RGPD SAR J3-bis + finalisation MVP F1-F6 : tests, correctifs critiques et tag Release 1.</t>
  </si>
  <si>
    <t>⚡ J3-bis 14h + 🚀 Release 1 MVP 17h45</t>
  </si>
  <si>
    <t>Sprint 6</t>
  </si>
  <si>
    <t>Jeudi matin</t>
  </si>
  <si>
    <t>8</t>
  </si>
  <si>
    <t>Release 2 : améliorer l'adoption avec récupération de compte et bibliothèque personnelle de cours. Traiter crise utilisateur J4.</t>
  </si>
  <si>
    <t>US-07, US-08</t>
  </si>
  <si>
    <t>⚡ Perturbation J4 10h + Review 12h30</t>
  </si>
  <si>
    <t>Sprint 7</t>
  </si>
  <si>
    <t>Jeudi PM</t>
  </si>
  <si>
    <t>14h00 - 17h00</t>
  </si>
  <si>
    <t>6-8</t>
  </si>
  <si>
    <t>Finaliser Release 2 : personnalisation du quiz + timer si capacité. Post-mortem J4 et démo prête.</t>
  </si>
  <si>
    <t>US-09 + US-10 stretch</t>
  </si>
  <si>
    <t>🚀 Release 2 17h + démo prête</t>
  </si>
  <si>
    <t>Soutenance</t>
  </si>
  <si>
    <t>Vendredi</t>
  </si>
  <si>
    <t>Selon planning</t>
  </si>
  <si>
    <t>Pitch, démo live MVP + Release 2, récit des pivots et retour réflexif sur les 5 perturbations.</t>
  </si>
  <si>
    <t>🎤 Soutenance + Q/R jury</t>
  </si>
  <si>
    <t>TOTAL semaine</t>
  </si>
  <si>
    <t>~ 50-60 SP</t>
  </si>
  <si>
    <t>Capacité totale calculée pour 7 personnes</t>
  </si>
  <si>
    <t>Scope initial 56 SP</t>
  </si>
  <si>
    <t>R1 fin S5 / R2 fin S7</t>
  </si>
  <si>
    <t>LÉGENDE</t>
  </si>
  <si>
    <t>✅ Sprint Review</t>
  </si>
  <si>
    <t>Démo des stories à la fin du sprint + validation PO</t>
  </si>
  <si>
    <t>⚡ Perturbation</t>
  </si>
  <si>
    <t>Événement imprévu déclenché par l'équipe pédagogique, avec impact tracé dans le planning/backlog.</t>
  </si>
  <si>
    <t>🚀 Release</t>
  </si>
  <si>
    <t>Livraison incrément potentiellement déployable : tag Git + démo enregistrable.</t>
  </si>
  <si>
    <t>🎤 Soutenance</t>
  </si>
  <si>
    <t>Pitch + démo + retour réflexif + Q/R jury.</t>
  </si>
  <si>
    <t>BURNUP GLOBAL : SEMAINE APOCAL'IPSSI 2026</t>
  </si>
  <si>
    <t>Trajectoire des story points livrés vs scope total. Les valeurs réelles sont à mettre à jour après chaque Sprint Review.</t>
  </si>
  <si>
    <t>Fin de sprint</t>
  </si>
  <si>
    <t>SP livrés (idéal)</t>
  </si>
  <si>
    <t>SP livrés (réel)</t>
  </si>
  <si>
    <t>Scope total</t>
  </si>
  <si>
    <t>Commentaire / impact</t>
  </si>
  <si>
    <t>Sprint 0</t>
  </si>
  <si>
    <t>Lun 13h30</t>
  </si>
  <si>
    <t>Scope initial cadré : MVP R1 + Release 2 ciblée + marge perturbations.</t>
  </si>
  <si>
    <t>Lun 18h</t>
  </si>
  <si>
    <t>US-01 + US-02 ; J1 ajoute prise en compte enseignant, sans hausse de scope R1.</t>
  </si>
  <si>
    <t>Mar 12h30</t>
  </si>
  <si>
    <t>J2 latence : +2 SP de marge ADR/fallback/optimisation.</t>
  </si>
  <si>
    <t>Mar 18h</t>
  </si>
  <si>
    <t>Correction + scoring ; intégration décision technique J2.</t>
  </si>
  <si>
    <t>Mer 12h30</t>
  </si>
  <si>
    <t>J3 prompt injection : +3 SP sécurité IA / filtrage prompt.</t>
  </si>
  <si>
    <t>Mer 17h45</t>
  </si>
  <si>
    <t>J3-bis RGPD SAR : +3 SP export/audit ; Release 1 MVP visée.</t>
  </si>
  <si>
    <t>Jeu 12h30</t>
  </si>
  <si>
    <t>J4 crise utilisateur : +2 SP support/post-mortem/correctifs UX.</t>
  </si>
  <si>
    <t>Jeu 17h</t>
  </si>
  <si>
    <t>Release 2 ciblée : US-07, US-08, US-09 ; US-10 seulement en stretch.</t>
  </si>
  <si>
    <t>HYPOTHÈSES, PERTURBATIONS ET DÉCISIONS DE PLANNING</t>
  </si>
  <si>
    <t>Type</t>
  </si>
  <si>
    <t>Hypothèse / décision</t>
  </si>
  <si>
    <t>Impact planning</t>
  </si>
  <si>
    <t>Preuve attendue</t>
  </si>
  <si>
    <t>À vérifier</t>
  </si>
  <si>
    <t>Hypothèse capacité</t>
  </si>
  <si>
    <t>Équipe de 7 personnes ; demi-journées de 3h30 ou 4h selon créneau.</t>
  </si>
  <si>
    <t>Capacité totale 203 h-pers.</t>
  </si>
  <si>
    <t>Release Planning + commits répartis.</t>
  </si>
  <si>
    <t>Planifié</t>
  </si>
  <si>
    <t>Hypothèse scope</t>
  </si>
  <si>
    <t>Scope initial fixé à 56 SP pour rester dans la cible ~50-60 SP.</t>
  </si>
  <si>
    <t>R1 sécurisée avant R2 ; scope total peut monter avec perturbations.</t>
  </si>
  <si>
    <t>Burnup global.</t>
  </si>
  <si>
    <t>Choix Release 2</t>
  </si>
  <si>
    <t>US-07, US-08, US-09 engagées ; US-10 en stretch goal si avance.</t>
  </si>
  <si>
    <t>Release 2 utile et démontrable sans mettre le MVP en danger.</t>
  </si>
  <si>
    <t>Review Sprint 7 + tag R2.</t>
  </si>
  <si>
    <t>Perturbation J1</t>
  </si>
  <si>
    <t>Mme Lefèvre devient persona secondaire crédible.</t>
  </si>
  <si>
    <t>Prise en compte dans vision/personas/backlog, sans déplacer le MVP étudiant.</t>
  </si>
  <si>
    <t>Persona + Story Map + commentaire Sprint 1.</t>
  </si>
  <si>
    <t>Positionnée</t>
  </si>
  <si>
    <t>À confirmer avec artefacts équipe</t>
  </si>
  <si>
    <t>Perturbation J2</t>
  </si>
  <si>
    <t>Latence génération LLM.</t>
  </si>
  <si>
    <t>ADR technique + fallback/optimisation dans Sprint 2/3.</t>
  </si>
  <si>
    <t>ADR-J2 commitée.</t>
  </si>
  <si>
    <t>Perturbation J3</t>
  </si>
  <si>
    <t>Prompt injection / sécurité IA.</t>
  </si>
  <si>
    <t>Ajout patch sécurité + critères d'acceptation sur génération.</t>
  </si>
  <si>
    <t>Tests prompts malveillants.</t>
  </si>
  <si>
    <t>Perturbation J3-bis</t>
  </si>
  <si>
    <t>Demande RGPD SAR.</t>
  </si>
  <si>
    <t>Export JSON/CSV + audit.</t>
  </si>
  <si>
    <t>Perturbation J4</t>
  </si>
  <si>
    <t>Retour client / crise utilisateur.</t>
  </si>
  <si>
    <t>Correctif UX/support + post-mortem en Sprint 6/7.</t>
  </si>
  <si>
    <t>Post-mortem + backlog avant/après.</t>
  </si>
  <si>
    <t>GRILLE D'AUTO-ÉVALUATION - RELEASE PLANNING</t>
  </si>
  <si>
    <t>Critère qualité</t>
  </si>
  <si>
    <t>Auto-évaluation</t>
  </si>
  <si>
    <t>Preuve / commentaire</t>
  </si>
  <si>
    <t>Action avant remise</t>
  </si>
  <si>
    <t>Les 7 sprints sont planifiés avec jour, horaires et capacité chiffrée.</t>
  </si>
  <si>
    <t>Oui</t>
  </si>
  <si>
    <t>Cadrage + S1 à S7 + Soutenance présents ; capacité totale 203 h-pers.</t>
  </si>
  <si>
    <t>Équipe renseignée.</t>
  </si>
  <si>
    <t>La taille d'équipe est explicite.</t>
  </si>
  <si>
    <t>Hypothèse 7 personnes indiquée dans identification et hypothèses.</t>
  </si>
  <si>
    <t>Valider si l'équipe n'est pas exactement 7.</t>
  </si>
  <si>
    <t>Chaque sprint a un objectif clair, mesurable, livrable en démo.</t>
  </si>
  <si>
    <t>Chaque objectif indique la feature, le résultat attendu ou le jalon.</t>
  </si>
  <si>
    <t>Chaque sprint liste au moins 1 user story engagée.</t>
  </si>
  <si>
    <t>La Release 1 (MVP) est explicitement positionnée fin Sprint 5.</t>
  </si>
  <si>
    <t>Sprint 5 : 🚀 Release 1 MVP 17h45.</t>
  </si>
  <si>
    <t>La Release 2 est explicitement positionnée fin Sprint 7.</t>
  </si>
  <si>
    <t>Sprint 7 : 🚀 Release 2 17h.</t>
  </si>
  <si>
    <t>Les 5 perturbations sont positionnées sur le planning.</t>
  </si>
  <si>
    <t>J1, J2, J3, J3-bis et J4 sont dans le planning + feuille dédiée.</t>
  </si>
  <si>
    <t>La feuille Burnup global est remplie avec scope initial chiffré.</t>
  </si>
  <si>
    <t>Scope initial 56 SP + scope total ajusté par perturbation.</t>
  </si>
  <si>
    <t>Renseigner SP réels après chaque Review.</t>
  </si>
  <si>
    <t>Le Release Planning a été co-construit en équipe.</t>
  </si>
  <si>
    <t>Partiel</t>
  </si>
  <si>
    <t>Artefact préparé pour revue équipe ; validation finale à faire avant soumission PO.</t>
  </si>
  <si>
    <t>Faire relire par PO/SM et cocher Oui après accord.</t>
  </si>
  <si>
    <t>GDPR-02 + correctifs MVP</t>
  </si>
  <si>
    <t>GDPR-02 export données planifiée en sprint 5</t>
  </si>
  <si>
    <t>US-01 à US-24 (+ stories GDPR/A11Y/I18N) positionnées ; S7 contient US-09 et US-10 stretch.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</si>
</sst>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1"/>
      <name val="Carlito"/>
    </font>
    <font>
      <b/>
      <sz val="16"/>
      <color rgb="FFFFFFFF"/>
      <name val="Carlito"/>
    </font>
    <font>
      <b/>
      <sz val="11"/>
      <color rgb="FF111827"/>
      <name val="Carlito"/>
    </font>
    <font>
      <b/>
      <sz val="11"/>
      <color rgb="FF1F1B4D"/>
      <name val="Carlito"/>
    </font>
    <font>
      <b/>
      <sz val="11"/>
      <color rgb="FFFFFFFF"/>
      <name val="Carlito"/>
    </font>
    <font>
      <b/>
      <sz val="11"/>
      <name val="Carlito"/>
    </font>
    <font>
      <b/>
      <sz val="15"/>
      <color rgb="FFFFFFFF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1F1B4D"/>
      </patternFill>
    </fill>
    <fill>
      <patternFill patternType="solid">
        <fgColor rgb="FFE8EAF6"/>
      </patternFill>
    </fill>
    <fill>
      <patternFill patternType="solid">
        <fgColor rgb="FFF3F4F6"/>
      </patternFill>
    </fill>
    <fill>
      <patternFill patternType="solid">
        <fgColor rgb="FFF8FAFC"/>
      </patternFill>
    </fill>
    <fill>
      <patternFill patternType="solid">
        <fgColor rgb="FFD9E4F5"/>
      </patternFill>
    </fill>
    <fill>
      <patternFill patternType="solid">
        <fgColor rgb="FFFFFFFF"/>
      </patternFill>
    </fill>
    <fill>
      <patternFill patternType="solid">
        <fgColor rgb="FFFFFBEA"/>
      </patternFill>
    </fill>
    <fill>
      <patternFill patternType="solid">
        <fgColor rgb="FFFEF3C7"/>
      </patternFill>
    </fill>
    <fill>
      <patternFill patternType="solid">
        <fgColor rgb="FFDDF8E5"/>
      </patternFill>
    </fill>
    <fill>
      <patternFill patternType="solid">
        <fgColor rgb="FF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4" borderId="0" xfId="0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4" fillId="2" borderId="0" xfId="0" applyFont="1" applyFill="1" applyAlignment="1">
      <alignment horizontal="center"/>
    </xf>
    <xf numFmtId="0" fontId="0" fillId="5" borderId="0" xfId="0" applyFill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6" borderId="0" xfId="0" applyFill="1" applyAlignment="1">
      <alignment vertical="top" wrapText="1"/>
    </xf>
    <xf numFmtId="0" fontId="0" fillId="7" borderId="0" xfId="0" applyFill="1" applyAlignment="1">
      <alignment vertical="top" wrapText="1"/>
    </xf>
    <xf numFmtId="0" fontId="0" fillId="8" borderId="0" xfId="0" applyFill="1" applyAlignment="1">
      <alignment vertical="top" wrapText="1"/>
    </xf>
    <xf numFmtId="0" fontId="0" fillId="9" borderId="0" xfId="0" applyFill="1" applyAlignment="1">
      <alignment vertical="top" wrapText="1"/>
    </xf>
    <xf numFmtId="0" fontId="0" fillId="10" borderId="0" xfId="0" applyFill="1" applyAlignment="1">
      <alignment vertical="top" wrapText="1"/>
    </xf>
    <xf numFmtId="0" fontId="5" fillId="11" borderId="0" xfId="0" applyFont="1" applyFill="1" applyAlignment="1">
      <alignment wrapText="1"/>
    </xf>
    <xf numFmtId="164" fontId="0" fillId="6" borderId="0" xfId="0" applyNumberFormat="1" applyFill="1" applyAlignment="1">
      <alignment vertical="top" wrapText="1"/>
    </xf>
    <xf numFmtId="164" fontId="0" fillId="7" borderId="0" xfId="0" applyNumberFormat="1" applyFill="1" applyAlignment="1">
      <alignment vertical="top" wrapText="1"/>
    </xf>
    <xf numFmtId="164" fontId="0" fillId="8" borderId="0" xfId="0" applyNumberFormat="1" applyFill="1" applyAlignment="1">
      <alignment vertical="top" wrapText="1"/>
    </xf>
    <xf numFmtId="164" fontId="0" fillId="9" borderId="0" xfId="0" applyNumberFormat="1" applyFill="1" applyAlignment="1">
      <alignment vertical="top" wrapText="1"/>
    </xf>
    <xf numFmtId="164" fontId="0" fillId="10" borderId="0" xfId="0" applyNumberFormat="1" applyFill="1" applyAlignment="1">
      <alignment vertical="top" wrapText="1"/>
    </xf>
    <xf numFmtId="164" fontId="5" fillId="11" borderId="0" xfId="0" applyNumberFormat="1" applyFont="1" applyFill="1" applyAlignment="1">
      <alignment wrapText="1"/>
    </xf>
    <xf numFmtId="1" fontId="0" fillId="0" borderId="0" xfId="0" applyNumberFormat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0" fillId="5" borderId="0" xfId="0" applyFill="1" applyAlignment="1">
      <alignment wrapText="1"/>
    </xf>
    <xf numFmtId="0" fontId="4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6" fillId="2" borderId="0" xfId="0" applyFont="1" applyFill="1" applyAlignment="1">
      <alignment horizontal="center"/>
    </xf>
  </cellXfs>
  <cellStyles count="1">
    <cellStyle name="Normal" xfId="0" builtinId="0"/>
  </cellStyles>
  <dxfs count="3">
    <dxf>
      <fill>
        <patternFill>
          <bgColor rgb="FFFEE2E2"/>
        </patternFill>
      </fill>
    </dxf>
    <dxf>
      <fill>
        <patternFill>
          <bgColor rgb="FFFFEDD5"/>
        </patternFill>
      </fill>
    </dxf>
    <dxf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r>
              <a:t>Burnup global - idéal / réel / scope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Fin de sprint</c:v>
          </c:tx>
          <c:cat>
            <c:strRef>
              <c:f>'Burnup global'!$A$5:$A$12</c:f>
              <c:strCache>
                <c:ptCount val="8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  <c:pt idx="7">
                  <c:v>Sprint 7</c:v>
                </c:pt>
              </c:strCache>
            </c:strRef>
          </c:cat>
          <c:val>
            <c:numRef>
              <c:f>'Burnup global'!$B$5:$B$12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28-4153-9F60-3CB3AE32F401}"/>
            </c:ext>
          </c:extLst>
        </c:ser>
        <c:ser>
          <c:idx val="1"/>
          <c:order val="1"/>
          <c:tx>
            <c:v>SP livrés (idéal)</c:v>
          </c:tx>
          <c:cat>
            <c:strRef>
              <c:f>'Burnup global'!$A$5:$A$12</c:f>
              <c:strCache>
                <c:ptCount val="8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  <c:pt idx="7">
                  <c:v>Sprint 7</c:v>
                </c:pt>
              </c:strCache>
            </c:strRef>
          </c:cat>
          <c:val>
            <c:numRef>
              <c:f>'Burnup global'!$C$5:$C$12</c:f>
              <c:numCache>
                <c:formatCode>0</c:formatCode>
                <c:ptCount val="8"/>
                <c:pt idx="0">
                  <c:v>0</c:v>
                </c:pt>
                <c:pt idx="1">
                  <c:v>8</c:v>
                </c:pt>
                <c:pt idx="2">
                  <c:v>16</c:v>
                </c:pt>
                <c:pt idx="3">
                  <c:v>24</c:v>
                </c:pt>
                <c:pt idx="4">
                  <c:v>32</c:v>
                </c:pt>
                <c:pt idx="5">
                  <c:v>40</c:v>
                </c:pt>
                <c:pt idx="6">
                  <c:v>48</c:v>
                </c:pt>
                <c:pt idx="7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28-4153-9F60-3CB3AE32F401}"/>
            </c:ext>
          </c:extLst>
        </c:ser>
        <c:ser>
          <c:idx val="2"/>
          <c:order val="2"/>
          <c:tx>
            <c:v>SP livrés (réel)</c:v>
          </c:tx>
          <c:cat>
            <c:strRef>
              <c:f>'Burnup global'!$A$5:$A$12</c:f>
              <c:strCache>
                <c:ptCount val="8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  <c:pt idx="7">
                  <c:v>Sprint 7</c:v>
                </c:pt>
              </c:strCache>
            </c:strRef>
          </c:cat>
          <c:val>
            <c:numRef>
              <c:f>'Burnup global'!$D$5:$D$12</c:f>
              <c:numCache>
                <c:formatCode>0</c:formatCode>
                <c:ptCount val="8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28-4153-9F60-3CB3AE32F401}"/>
            </c:ext>
          </c:extLst>
        </c:ser>
        <c:ser>
          <c:idx val="3"/>
          <c:order val="3"/>
          <c:tx>
            <c:v>Scope total</c:v>
          </c:tx>
          <c:cat>
            <c:strRef>
              <c:f>'Burnup global'!$A$5:$A$12</c:f>
              <c:strCache>
                <c:ptCount val="8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  <c:pt idx="7">
                  <c:v>Sprint 7</c:v>
                </c:pt>
              </c:strCache>
            </c:strRef>
          </c:cat>
          <c:val>
            <c:numRef>
              <c:f>'Burnup global'!$E$5:$E$12</c:f>
              <c:numCache>
                <c:formatCode>0</c:formatCode>
                <c:ptCount val="8"/>
                <c:pt idx="0">
                  <c:v>56</c:v>
                </c:pt>
                <c:pt idx="1">
                  <c:v>56</c:v>
                </c:pt>
                <c:pt idx="2">
                  <c:v>58</c:v>
                </c:pt>
                <c:pt idx="3">
                  <c:v>58</c:v>
                </c:pt>
                <c:pt idx="4">
                  <c:v>61</c:v>
                </c:pt>
                <c:pt idx="5">
                  <c:v>64</c:v>
                </c:pt>
                <c:pt idx="6">
                  <c:v>66</c:v>
                </c:pt>
                <c:pt idx="7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28-4153-9F60-3CB3AE32F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leasePlanningTable" displayName="ReleasePlanningTable" ref="A12:H21">
  <tableColumns count="8">
    <tableColumn id="1" xr3:uid="{00000000-0010-0000-0000-000001000000}" name="Sprint"/>
    <tableColumn id="2" xr3:uid="{00000000-0010-0000-0000-000002000000}" name="Jour"/>
    <tableColumn id="3" xr3:uid="{00000000-0010-0000-0000-000003000000}" name="Horaires"/>
    <tableColumn id="4" xr3:uid="{00000000-0010-0000-0000-000004000000}" name="Capacité (h-pers)"/>
    <tableColumn id="5" xr3:uid="{00000000-0010-0000-0000-000005000000}" name="Vélocité cible (SP)"/>
    <tableColumn id="6" xr3:uid="{00000000-0010-0000-0000-000006000000}" name="Objectif sprint"/>
    <tableColumn id="7" xr3:uid="{00000000-0010-0000-0000-000007000000}" name="Stories engagées"/>
    <tableColumn id="8" xr3:uid="{00000000-0010-0000-0000-000008000000}" name="Release / Jal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urnupTable" displayName="BurnupTable" ref="A4:F12">
  <tableColumns count="6">
    <tableColumn id="1" xr3:uid="{00000000-0010-0000-0100-000001000000}" name="Sprint"/>
    <tableColumn id="2" xr3:uid="{00000000-0010-0000-0100-000002000000}" name="Fin de sprint"/>
    <tableColumn id="3" xr3:uid="{00000000-0010-0000-0100-000003000000}" name="SP livrés (idéal)"/>
    <tableColumn id="4" xr3:uid="{00000000-0010-0000-0100-000004000000}" name="SP livrés (réel)"/>
    <tableColumn id="5" xr3:uid="{00000000-0010-0000-0100-000005000000}" name="Scope total"/>
    <tableColumn id="6" xr3:uid="{00000000-0010-0000-0100-000006000000}" name="Commentaire / impac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turbationsTable" displayName="PerturbationsTable" ref="A3:F11">
  <tableColumns count="6">
    <tableColumn id="1" xr3:uid="{00000000-0010-0000-0200-000001000000}" name="Type"/>
    <tableColumn id="2" xr3:uid="{00000000-0010-0000-0200-000002000000}" name="Hypothèse / décision"/>
    <tableColumn id="3" xr3:uid="{00000000-0010-0000-0200-000003000000}" name="Impact planning"/>
    <tableColumn id="4" xr3:uid="{00000000-0010-0000-0200-000004000000}" name="Preuve attendue"/>
    <tableColumn id="5" xr3:uid="{00000000-0010-0000-0200-000005000000}" name="Statut"/>
    <tableColumn id="6" xr3:uid="{00000000-0010-0000-0200-000006000000}" name="À vérifi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utoEvaluationTable" displayName="AutoEvaluationTable" ref="A3:D12">
  <tableColumns count="4">
    <tableColumn id="1" xr3:uid="{00000000-0010-0000-0300-000001000000}" name="Critère qualité"/>
    <tableColumn id="2" xr3:uid="{00000000-0010-0000-0300-000002000000}" name="Auto-évaluation"/>
    <tableColumn id="3" xr3:uid="{00000000-0010-0000-0300-000003000000}" name="Preuve / commentaire"/>
    <tableColumn id="4" xr3:uid="{00000000-0010-0000-0300-000004000000}" name="Action avant remi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workbookViewId="0">
      <selection activeCell="C10" sqref="C10"/>
    </sheetView>
  </sheetViews>
  <sheetFormatPr baseColWidth="10" defaultColWidth="9" defaultRowHeight="14.25"/>
  <cols>
    <col min="1" max="1" width="14" customWidth="1"/>
    <col min="2" max="2" width="12" customWidth="1"/>
    <col min="3" max="3" width="17" customWidth="1"/>
    <col min="4" max="4" width="48" customWidth="1"/>
    <col min="5" max="5" width="18" customWidth="1"/>
    <col min="6" max="6" width="50" customWidth="1"/>
    <col min="7" max="7" width="27" customWidth="1"/>
    <col min="8" max="8" width="32" customWidth="1"/>
  </cols>
  <sheetData>
    <row r="1" spans="1:8" ht="27.95" customHeight="1">
      <c r="A1" s="21" t="s">
        <v>0</v>
      </c>
      <c r="B1" s="22"/>
      <c r="C1" s="22"/>
      <c r="D1" s="22"/>
      <c r="E1" s="22"/>
      <c r="F1" s="22"/>
      <c r="G1" s="22"/>
      <c r="H1" s="22"/>
    </row>
    <row r="2" spans="1:8" ht="20.100000000000001" customHeight="1">
      <c r="A2" s="23" t="s">
        <v>1</v>
      </c>
      <c r="B2" s="22"/>
      <c r="C2" s="22"/>
      <c r="D2" s="22"/>
      <c r="E2" s="22"/>
      <c r="F2" s="22"/>
      <c r="G2" s="22"/>
      <c r="H2" s="22"/>
    </row>
    <row r="4" spans="1:8" ht="36" customHeight="1">
      <c r="A4" s="2" t="s">
        <v>2</v>
      </c>
      <c r="B4" s="1" t="s">
        <v>3</v>
      </c>
      <c r="C4" s="2" t="s">
        <v>4</v>
      </c>
      <c r="D4" s="1" t="s">
        <v>5</v>
      </c>
      <c r="E4" s="2" t="s">
        <v>6</v>
      </c>
      <c r="F4" s="1" t="s">
        <v>7</v>
      </c>
      <c r="G4" s="2" t="s">
        <v>8</v>
      </c>
      <c r="H4" s="1" t="s">
        <v>9</v>
      </c>
    </row>
    <row r="5" spans="1:8" ht="36" customHeight="1">
      <c r="A5" s="2" t="s">
        <v>10</v>
      </c>
      <c r="B5" s="1" t="s">
        <v>11</v>
      </c>
      <c r="C5" s="2" t="s">
        <v>12</v>
      </c>
      <c r="D5" s="1" t="s">
        <v>13</v>
      </c>
      <c r="E5" s="2" t="s">
        <v>14</v>
      </c>
      <c r="F5" s="1" t="s">
        <v>15</v>
      </c>
      <c r="G5" s="2" t="s">
        <v>16</v>
      </c>
      <c r="H5" s="1" t="s">
        <v>17</v>
      </c>
    </row>
    <row r="7" spans="1:8" ht="15">
      <c r="A7" s="3" t="s">
        <v>18</v>
      </c>
      <c r="B7" s="24" t="s">
        <v>19</v>
      </c>
      <c r="C7" s="24"/>
      <c r="D7" s="24"/>
      <c r="E7" s="24"/>
      <c r="F7" s="24"/>
      <c r="G7" s="24"/>
      <c r="H7" s="24"/>
    </row>
    <row r="8" spans="1:8" ht="15">
      <c r="A8" s="3" t="s">
        <v>20</v>
      </c>
      <c r="B8" s="24" t="s">
        <v>21</v>
      </c>
      <c r="C8" s="24"/>
      <c r="D8" s="24"/>
      <c r="E8" s="24"/>
      <c r="F8" s="24"/>
      <c r="G8" s="24"/>
      <c r="H8" s="24"/>
    </row>
    <row r="9" spans="1:8" ht="15">
      <c r="A9" s="3" t="s">
        <v>22</v>
      </c>
      <c r="B9" s="24" t="s">
        <v>23</v>
      </c>
      <c r="C9" s="24"/>
      <c r="D9" s="24"/>
      <c r="E9" s="24"/>
      <c r="F9" s="24"/>
      <c r="G9" s="24"/>
      <c r="H9" s="24"/>
    </row>
    <row r="12" spans="1:8" ht="32.1" customHeight="1">
      <c r="A12" s="6" t="s">
        <v>24</v>
      </c>
      <c r="B12" s="6" t="s">
        <v>25</v>
      </c>
      <c r="C12" s="6" t="s">
        <v>26</v>
      </c>
      <c r="D12" s="6" t="s">
        <v>27</v>
      </c>
      <c r="E12" s="6" t="s">
        <v>28</v>
      </c>
      <c r="F12" s="6" t="s">
        <v>29</v>
      </c>
      <c r="G12" s="6" t="s">
        <v>30</v>
      </c>
      <c r="H12" s="6" t="s">
        <v>31</v>
      </c>
    </row>
    <row r="13" spans="1:8" ht="51.95" customHeight="1">
      <c r="A13" s="8" t="s">
        <v>32</v>
      </c>
      <c r="B13" s="8" t="s">
        <v>33</v>
      </c>
      <c r="C13" s="8" t="s">
        <v>34</v>
      </c>
      <c r="D13" s="14">
        <v>24.5</v>
      </c>
      <c r="E13" s="8" t="s">
        <v>35</v>
      </c>
      <c r="F13" s="8" t="s">
        <v>36</v>
      </c>
      <c r="G13" s="8" t="s">
        <v>35</v>
      </c>
      <c r="H13" s="8" t="s">
        <v>37</v>
      </c>
    </row>
    <row r="14" spans="1:8" ht="51.95" customHeight="1">
      <c r="A14" s="9" t="s">
        <v>38</v>
      </c>
      <c r="B14" s="9" t="s">
        <v>39</v>
      </c>
      <c r="C14" s="9" t="s">
        <v>40</v>
      </c>
      <c r="D14" s="15">
        <v>28</v>
      </c>
      <c r="E14" s="9" t="s">
        <v>41</v>
      </c>
      <c r="F14" s="9" t="s">
        <v>42</v>
      </c>
      <c r="G14" s="9" t="s">
        <v>43</v>
      </c>
      <c r="H14" s="9" t="s">
        <v>44</v>
      </c>
    </row>
    <row r="15" spans="1:8" ht="51.95" customHeight="1">
      <c r="A15" s="10" t="s">
        <v>45</v>
      </c>
      <c r="B15" s="10" t="s">
        <v>46</v>
      </c>
      <c r="C15" s="10" t="s">
        <v>47</v>
      </c>
      <c r="D15" s="16">
        <v>24.5</v>
      </c>
      <c r="E15" s="10" t="s">
        <v>41</v>
      </c>
      <c r="F15" s="10" t="s">
        <v>48</v>
      </c>
      <c r="G15" s="10" t="s">
        <v>49</v>
      </c>
      <c r="H15" s="10" t="s">
        <v>50</v>
      </c>
    </row>
    <row r="16" spans="1:8" ht="51.95" customHeight="1">
      <c r="A16" s="9" t="s">
        <v>51</v>
      </c>
      <c r="B16" s="9" t="s">
        <v>52</v>
      </c>
      <c r="C16" s="9" t="s">
        <v>40</v>
      </c>
      <c r="D16" s="15">
        <v>28</v>
      </c>
      <c r="E16" s="9" t="s">
        <v>41</v>
      </c>
      <c r="F16" s="9" t="s">
        <v>53</v>
      </c>
      <c r="G16" s="9" t="s">
        <v>54</v>
      </c>
      <c r="H16" s="9" t="s">
        <v>55</v>
      </c>
    </row>
    <row r="17" spans="1:8" ht="51.95" customHeight="1">
      <c r="A17" s="10" t="s">
        <v>56</v>
      </c>
      <c r="B17" s="10" t="s">
        <v>57</v>
      </c>
      <c r="C17" s="10" t="s">
        <v>47</v>
      </c>
      <c r="D17" s="16">
        <v>24.5</v>
      </c>
      <c r="E17" s="10" t="s">
        <v>41</v>
      </c>
      <c r="F17" s="10" t="s">
        <v>58</v>
      </c>
      <c r="G17" s="10" t="s">
        <v>59</v>
      </c>
      <c r="H17" s="10" t="s">
        <v>60</v>
      </c>
    </row>
    <row r="18" spans="1:8" ht="51.95" customHeight="1">
      <c r="A18" s="11" t="s">
        <v>61</v>
      </c>
      <c r="B18" s="11" t="s">
        <v>62</v>
      </c>
      <c r="C18" s="11" t="s">
        <v>40</v>
      </c>
      <c r="D18" s="17">
        <v>28</v>
      </c>
      <c r="E18" s="11" t="s">
        <v>41</v>
      </c>
      <c r="F18" s="11" t="s">
        <v>63</v>
      </c>
      <c r="G18" s="11" t="s">
        <v>189</v>
      </c>
      <c r="H18" s="11" t="s">
        <v>64</v>
      </c>
    </row>
    <row r="19" spans="1:8" ht="51.95" customHeight="1">
      <c r="A19" s="10" t="s">
        <v>65</v>
      </c>
      <c r="B19" s="10" t="s">
        <v>66</v>
      </c>
      <c r="C19" s="10" t="s">
        <v>47</v>
      </c>
      <c r="D19" s="16">
        <v>24.5</v>
      </c>
      <c r="E19" s="10" t="s">
        <v>67</v>
      </c>
      <c r="F19" s="10" t="s">
        <v>68</v>
      </c>
      <c r="G19" s="10" t="s">
        <v>69</v>
      </c>
      <c r="H19" s="10" t="s">
        <v>70</v>
      </c>
    </row>
    <row r="20" spans="1:8" ht="51.95" customHeight="1">
      <c r="A20" s="11" t="s">
        <v>71</v>
      </c>
      <c r="B20" s="11" t="s">
        <v>72</v>
      </c>
      <c r="C20" s="11" t="s">
        <v>73</v>
      </c>
      <c r="D20" s="17">
        <v>21</v>
      </c>
      <c r="E20" s="11" t="s">
        <v>74</v>
      </c>
      <c r="F20" s="11" t="s">
        <v>75</v>
      </c>
      <c r="G20" s="11" t="s">
        <v>76</v>
      </c>
      <c r="H20" s="11" t="s">
        <v>77</v>
      </c>
    </row>
    <row r="21" spans="1:8" ht="51.95" customHeight="1">
      <c r="A21" s="12" t="s">
        <v>78</v>
      </c>
      <c r="B21" s="12" t="s">
        <v>79</v>
      </c>
      <c r="C21" s="12" t="s">
        <v>80</v>
      </c>
      <c r="D21" s="18" t="s">
        <v>35</v>
      </c>
      <c r="E21" s="12" t="s">
        <v>35</v>
      </c>
      <c r="F21" s="12" t="s">
        <v>81</v>
      </c>
      <c r="G21" s="12" t="s">
        <v>35</v>
      </c>
      <c r="H21" s="12" t="s">
        <v>82</v>
      </c>
    </row>
    <row r="22" spans="1:8" ht="30">
      <c r="A22" s="13" t="s">
        <v>83</v>
      </c>
      <c r="B22" s="13"/>
      <c r="C22" s="13"/>
      <c r="D22" s="19">
        <f>SUM(D13:D20)</f>
        <v>203</v>
      </c>
      <c r="E22" s="13" t="s">
        <v>84</v>
      </c>
      <c r="F22" s="13" t="s">
        <v>85</v>
      </c>
      <c r="G22" s="13" t="s">
        <v>86</v>
      </c>
      <c r="H22" s="13" t="s">
        <v>87</v>
      </c>
    </row>
    <row r="25" spans="1:8" ht="15">
      <c r="A25" s="25" t="s">
        <v>88</v>
      </c>
      <c r="B25" s="22"/>
      <c r="C25" s="22"/>
      <c r="D25" s="22"/>
      <c r="E25" s="22"/>
      <c r="F25" s="22"/>
      <c r="G25" s="22"/>
      <c r="H25" s="22"/>
    </row>
    <row r="26" spans="1:8" ht="28.5">
      <c r="A26" s="4" t="s">
        <v>89</v>
      </c>
      <c r="B26" s="24" t="s">
        <v>90</v>
      </c>
      <c r="C26" s="24"/>
      <c r="D26" s="24"/>
      <c r="E26" s="24"/>
      <c r="F26" s="24"/>
      <c r="G26" s="24"/>
      <c r="H26" s="24"/>
    </row>
    <row r="27" spans="1:8">
      <c r="A27" s="4" t="s">
        <v>91</v>
      </c>
      <c r="B27" s="24" t="s">
        <v>92</v>
      </c>
      <c r="C27" s="24"/>
      <c r="D27" s="24"/>
      <c r="E27" s="24"/>
      <c r="F27" s="24"/>
      <c r="G27" s="24"/>
      <c r="H27" s="24"/>
    </row>
    <row r="28" spans="1:8">
      <c r="A28" s="4" t="s">
        <v>93</v>
      </c>
      <c r="B28" s="24" t="s">
        <v>94</v>
      </c>
      <c r="C28" s="24"/>
      <c r="D28" s="24"/>
      <c r="E28" s="24"/>
      <c r="F28" s="24"/>
      <c r="G28" s="24"/>
      <c r="H28" s="24"/>
    </row>
    <row r="29" spans="1:8">
      <c r="A29" s="4" t="s">
        <v>95</v>
      </c>
      <c r="B29" s="24" t="s">
        <v>96</v>
      </c>
      <c r="C29" s="24"/>
      <c r="D29" s="24"/>
      <c r="E29" s="24"/>
      <c r="F29" s="24"/>
      <c r="G29" s="24"/>
      <c r="H29" s="24"/>
    </row>
  </sheetData>
  <mergeCells count="10">
    <mergeCell ref="A25:H25"/>
    <mergeCell ref="B26:H26"/>
    <mergeCell ref="B27:H27"/>
    <mergeCell ref="B28:H28"/>
    <mergeCell ref="B29:H29"/>
    <mergeCell ref="A1:H1"/>
    <mergeCell ref="A2:H2"/>
    <mergeCell ref="B7:H7"/>
    <mergeCell ref="B8:H8"/>
    <mergeCell ref="B9:H9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/>
  </sheetViews>
  <sheetFormatPr baseColWidth="10" defaultColWidth="9" defaultRowHeight="14.25"/>
  <cols>
    <col min="1" max="1" width="14" customWidth="1"/>
    <col min="2" max="2" width="16" customWidth="1"/>
    <col min="3" max="4" width="18" customWidth="1"/>
    <col min="5" max="5" width="14" customWidth="1"/>
    <col min="6" max="6" width="60" customWidth="1"/>
  </cols>
  <sheetData>
    <row r="1" spans="1:6" ht="27.95" customHeight="1">
      <c r="A1" s="26" t="s">
        <v>97</v>
      </c>
      <c r="B1" s="22"/>
      <c r="C1" s="22"/>
      <c r="D1" s="22"/>
      <c r="E1" s="22"/>
      <c r="F1" s="22"/>
    </row>
    <row r="2" spans="1:6" ht="15">
      <c r="A2" s="27" t="s">
        <v>98</v>
      </c>
      <c r="B2" s="22"/>
      <c r="C2" s="22"/>
      <c r="D2" s="22"/>
      <c r="E2" s="22"/>
      <c r="F2" s="22"/>
    </row>
    <row r="4" spans="1:6" ht="30" customHeight="1">
      <c r="A4" s="5" t="s">
        <v>24</v>
      </c>
      <c r="B4" s="5" t="s">
        <v>99</v>
      </c>
      <c r="C4" s="5" t="s">
        <v>100</v>
      </c>
      <c r="D4" s="5" t="s">
        <v>101</v>
      </c>
      <c r="E4" s="5" t="s">
        <v>102</v>
      </c>
      <c r="F4" s="5" t="s">
        <v>103</v>
      </c>
    </row>
    <row r="5" spans="1:6" ht="42" customHeight="1">
      <c r="A5" s="7" t="s">
        <v>104</v>
      </c>
      <c r="B5" s="7" t="s">
        <v>105</v>
      </c>
      <c r="C5" s="20">
        <v>0</v>
      </c>
      <c r="D5" s="20">
        <v>0</v>
      </c>
      <c r="E5" s="20">
        <v>56</v>
      </c>
      <c r="F5" s="7" t="s">
        <v>106</v>
      </c>
    </row>
    <row r="6" spans="1:6" ht="42" customHeight="1">
      <c r="A6" s="7" t="s">
        <v>38</v>
      </c>
      <c r="B6" s="7" t="s">
        <v>107</v>
      </c>
      <c r="C6" s="20">
        <v>8</v>
      </c>
      <c r="D6" s="20"/>
      <c r="E6" s="20">
        <v>56</v>
      </c>
      <c r="F6" s="7" t="s">
        <v>108</v>
      </c>
    </row>
    <row r="7" spans="1:6" ht="42" customHeight="1">
      <c r="A7" s="7" t="s">
        <v>45</v>
      </c>
      <c r="B7" s="7" t="s">
        <v>109</v>
      </c>
      <c r="C7" s="20">
        <v>16</v>
      </c>
      <c r="D7" s="20"/>
      <c r="E7" s="20">
        <v>58</v>
      </c>
      <c r="F7" s="7" t="s">
        <v>110</v>
      </c>
    </row>
    <row r="8" spans="1:6" ht="42" customHeight="1">
      <c r="A8" s="7" t="s">
        <v>51</v>
      </c>
      <c r="B8" s="7" t="s">
        <v>111</v>
      </c>
      <c r="C8" s="20">
        <v>24</v>
      </c>
      <c r="D8" s="20"/>
      <c r="E8" s="20">
        <v>58</v>
      </c>
      <c r="F8" s="7" t="s">
        <v>112</v>
      </c>
    </row>
    <row r="9" spans="1:6" ht="42" customHeight="1">
      <c r="A9" s="7" t="s">
        <v>56</v>
      </c>
      <c r="B9" s="7" t="s">
        <v>113</v>
      </c>
      <c r="C9" s="20">
        <v>32</v>
      </c>
      <c r="D9" s="20"/>
      <c r="E9" s="20">
        <v>61</v>
      </c>
      <c r="F9" s="7" t="s">
        <v>114</v>
      </c>
    </row>
    <row r="10" spans="1:6" ht="42" customHeight="1">
      <c r="A10" s="7" t="s">
        <v>61</v>
      </c>
      <c r="B10" s="7" t="s">
        <v>115</v>
      </c>
      <c r="C10" s="20">
        <v>40</v>
      </c>
      <c r="D10" s="20"/>
      <c r="E10" s="20">
        <v>64</v>
      </c>
      <c r="F10" s="7" t="s">
        <v>116</v>
      </c>
    </row>
    <row r="11" spans="1:6" ht="42" customHeight="1">
      <c r="A11" s="7" t="s">
        <v>65</v>
      </c>
      <c r="B11" s="7" t="s">
        <v>117</v>
      </c>
      <c r="C11" s="20">
        <v>48</v>
      </c>
      <c r="D11" s="20"/>
      <c r="E11" s="20">
        <v>66</v>
      </c>
      <c r="F11" s="7" t="s">
        <v>118</v>
      </c>
    </row>
    <row r="12" spans="1:6" ht="42" customHeight="1">
      <c r="A12" s="7" t="s">
        <v>71</v>
      </c>
      <c r="B12" s="7" t="s">
        <v>119</v>
      </c>
      <c r="C12" s="20">
        <v>56</v>
      </c>
      <c r="D12" s="20"/>
      <c r="E12" s="20">
        <v>66</v>
      </c>
      <c r="F12" s="7" t="s">
        <v>120</v>
      </c>
    </row>
  </sheetData>
  <mergeCells count="2">
    <mergeCell ref="A1:F1"/>
    <mergeCell ref="A2:F2"/>
  </mergeCell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topLeftCell="A3" workbookViewId="0">
      <selection activeCell="C11" sqref="C11"/>
    </sheetView>
  </sheetViews>
  <sheetFormatPr baseColWidth="10" defaultColWidth="9" defaultRowHeight="14.25"/>
  <cols>
    <col min="1" max="1" width="20" customWidth="1"/>
    <col min="2" max="2" width="48" customWidth="1"/>
    <col min="3" max="3" width="42" customWidth="1"/>
    <col min="4" max="4" width="38" customWidth="1"/>
    <col min="5" max="5" width="18" customWidth="1"/>
    <col min="6" max="6" width="28" customWidth="1"/>
  </cols>
  <sheetData>
    <row r="1" spans="1:6" ht="27.95" customHeight="1">
      <c r="A1" s="28" t="s">
        <v>121</v>
      </c>
      <c r="B1" s="22"/>
      <c r="C1" s="22"/>
      <c r="D1" s="22"/>
      <c r="E1" s="22"/>
      <c r="F1" s="22"/>
    </row>
    <row r="3" spans="1:6" ht="15">
      <c r="A3" s="5" t="s">
        <v>122</v>
      </c>
      <c r="B3" s="5" t="s">
        <v>123</v>
      </c>
      <c r="C3" s="5" t="s">
        <v>124</v>
      </c>
      <c r="D3" s="5" t="s">
        <v>125</v>
      </c>
      <c r="E3" s="5" t="s">
        <v>12</v>
      </c>
      <c r="F3" s="5" t="s">
        <v>126</v>
      </c>
    </row>
    <row r="4" spans="1:6" ht="38.1" customHeight="1">
      <c r="A4" s="7" t="s">
        <v>127</v>
      </c>
      <c r="B4" s="7" t="s">
        <v>128</v>
      </c>
      <c r="C4" s="7" t="s">
        <v>129</v>
      </c>
      <c r="D4" s="7" t="s">
        <v>130</v>
      </c>
      <c r="E4" s="7" t="s">
        <v>131</v>
      </c>
      <c r="F4" s="7"/>
    </row>
    <row r="5" spans="1:6" ht="38.1" customHeight="1">
      <c r="A5" s="7" t="s">
        <v>132</v>
      </c>
      <c r="B5" s="7" t="s">
        <v>133</v>
      </c>
      <c r="C5" s="7" t="s">
        <v>134</v>
      </c>
      <c r="D5" s="7" t="s">
        <v>135</v>
      </c>
      <c r="E5" s="7" t="s">
        <v>131</v>
      </c>
      <c r="F5" s="7"/>
    </row>
    <row r="6" spans="1:6" ht="38.1" customHeight="1">
      <c r="A6" s="7" t="s">
        <v>136</v>
      </c>
      <c r="B6" s="7" t="s">
        <v>137</v>
      </c>
      <c r="C6" s="7" t="s">
        <v>138</v>
      </c>
      <c r="D6" s="7" t="s">
        <v>139</v>
      </c>
      <c r="E6" s="7" t="s">
        <v>131</v>
      </c>
      <c r="F6" s="7"/>
    </row>
    <row r="7" spans="1:6" ht="38.1" customHeight="1">
      <c r="A7" s="7" t="s">
        <v>140</v>
      </c>
      <c r="B7" s="7" t="s">
        <v>141</v>
      </c>
      <c r="C7" s="7" t="s">
        <v>142</v>
      </c>
      <c r="D7" s="7" t="s">
        <v>143</v>
      </c>
      <c r="E7" s="7" t="s">
        <v>144</v>
      </c>
      <c r="F7" s="7" t="s">
        <v>145</v>
      </c>
    </row>
    <row r="8" spans="1:6" ht="38.1" customHeight="1">
      <c r="A8" s="7" t="s">
        <v>146</v>
      </c>
      <c r="B8" s="7" t="s">
        <v>147</v>
      </c>
      <c r="C8" s="7" t="s">
        <v>148</v>
      </c>
      <c r="D8" s="7" t="s">
        <v>149</v>
      </c>
      <c r="E8" s="7" t="s">
        <v>144</v>
      </c>
      <c r="F8" s="7"/>
    </row>
    <row r="9" spans="1:6" ht="38.1" customHeight="1">
      <c r="A9" s="7" t="s">
        <v>150</v>
      </c>
      <c r="B9" s="7" t="s">
        <v>151</v>
      </c>
      <c r="C9" s="7" t="s">
        <v>152</v>
      </c>
      <c r="D9" s="7" t="s">
        <v>153</v>
      </c>
      <c r="E9" s="7" t="s">
        <v>144</v>
      </c>
      <c r="F9" s="7"/>
    </row>
    <row r="10" spans="1:6" ht="38.1" customHeight="1">
      <c r="A10" s="7" t="s">
        <v>154</v>
      </c>
      <c r="B10" s="7" t="s">
        <v>155</v>
      </c>
      <c r="C10" s="7" t="s">
        <v>190</v>
      </c>
      <c r="D10" s="7" t="s">
        <v>156</v>
      </c>
      <c r="E10" s="7" t="s">
        <v>144</v>
      </c>
      <c r="F10" s="7"/>
    </row>
    <row r="11" spans="1:6" ht="38.1" customHeight="1">
      <c r="A11" s="7" t="s">
        <v>157</v>
      </c>
      <c r="B11" s="7" t="s">
        <v>158</v>
      </c>
      <c r="C11" s="7" t="s">
        <v>159</v>
      </c>
      <c r="D11" s="7" t="s">
        <v>160</v>
      </c>
      <c r="E11" s="7" t="s">
        <v>144</v>
      </c>
      <c r="F11" s="7"/>
    </row>
  </sheetData>
  <mergeCells count="1">
    <mergeCell ref="A1:F1"/>
  </mergeCells>
  <dataValidations count="1">
    <dataValidation type="list" sqref="E4:E11" xr:uid="{00000000-0002-0000-0200-000000000000}">
      <formula1>"Planifié,Positionnée,En cours,Validé,À revoir"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2"/>
  <sheetViews>
    <sheetView tabSelected="1" topLeftCell="A3" workbookViewId="0">
      <selection activeCell="C8" sqref="C8"/>
    </sheetView>
  </sheetViews>
  <sheetFormatPr baseColWidth="10" defaultColWidth="9" defaultRowHeight="14.25"/>
  <cols>
    <col min="1" max="1" width="55" customWidth="1"/>
    <col min="2" max="2" width="18" customWidth="1"/>
    <col min="3" max="3" width="55" customWidth="1"/>
    <col min="4" max="4" width="40" customWidth="1"/>
  </cols>
  <sheetData>
    <row r="1" spans="1:4" ht="27.95" customHeight="1">
      <c r="A1" s="28" t="s">
        <v>161</v>
      </c>
      <c r="B1" s="22"/>
      <c r="C1" s="22"/>
      <c r="D1" s="22"/>
    </row>
    <row r="3" spans="1:4" ht="15">
      <c r="A3" s="5" t="s">
        <v>162</v>
      </c>
      <c r="B3" s="5" t="s">
        <v>163</v>
      </c>
      <c r="C3" s="5" t="s">
        <v>164</v>
      </c>
      <c r="D3" s="5" t="s">
        <v>165</v>
      </c>
    </row>
    <row r="4" spans="1:4" ht="42" customHeight="1">
      <c r="A4" s="7" t="s">
        <v>166</v>
      </c>
      <c r="B4" s="7" t="s">
        <v>167</v>
      </c>
      <c r="C4" s="7" t="s">
        <v>168</v>
      </c>
      <c r="D4" s="7" t="s">
        <v>169</v>
      </c>
    </row>
    <row r="5" spans="1:4" ht="42" customHeight="1">
      <c r="A5" s="7" t="s">
        <v>170</v>
      </c>
      <c r="B5" s="7" t="s">
        <v>167</v>
      </c>
      <c r="C5" s="7" t="s">
        <v>171</v>
      </c>
      <c r="D5" s="7" t="s">
        <v>172</v>
      </c>
    </row>
    <row r="6" spans="1:4" ht="42" customHeight="1">
      <c r="A6" s="7" t="s">
        <v>173</v>
      </c>
      <c r="B6" s="7" t="s">
        <v>167</v>
      </c>
      <c r="C6" s="7" t="s">
        <v>174</v>
      </c>
      <c r="D6" s="7"/>
    </row>
    <row r="7" spans="1:4" ht="42" customHeight="1">
      <c r="A7" s="7" t="s">
        <v>175</v>
      </c>
      <c r="B7" s="7" t="s">
        <v>167</v>
      </c>
      <c r="C7" s="7" t="s">
        <v>191</v>
      </c>
      <c r="D7" s="7"/>
    </row>
    <row r="8" spans="1:4" ht="42" customHeight="1">
      <c r="A8" s="7" t="s">
        <v>176</v>
      </c>
      <c r="B8" s="7" t="s">
        <v>167</v>
      </c>
      <c r="C8" s="7" t="s">
        <v>177</v>
      </c>
      <c r="D8" s="7"/>
    </row>
    <row r="9" spans="1:4" ht="42" customHeight="1">
      <c r="A9" s="7" t="s">
        <v>178</v>
      </c>
      <c r="B9" s="7" t="s">
        <v>167</v>
      </c>
      <c r="C9" s="7" t="s">
        <v>179</v>
      </c>
      <c r="D9" s="7"/>
    </row>
    <row r="10" spans="1:4" ht="42" customHeight="1">
      <c r="A10" s="7" t="s">
        <v>180</v>
      </c>
      <c r="B10" s="7" t="s">
        <v>167</v>
      </c>
      <c r="C10" s="7" t="s">
        <v>181</v>
      </c>
      <c r="D10" s="7"/>
    </row>
    <row r="11" spans="1:4" ht="42" customHeight="1">
      <c r="A11" s="7" t="s">
        <v>182</v>
      </c>
      <c r="B11" s="7" t="s">
        <v>167</v>
      </c>
      <c r="C11" s="7" t="s">
        <v>183</v>
      </c>
      <c r="D11" s="7" t="s">
        <v>184</v>
      </c>
    </row>
    <row r="12" spans="1:4" ht="42" customHeight="1">
      <c r="A12" s="7" t="s">
        <v>185</v>
      </c>
      <c r="B12" s="7" t="s">
        <v>186</v>
      </c>
      <c r="C12" s="7" t="s">
        <v>187</v>
      </c>
      <c r="D12" s="7" t="s">
        <v>188</v>
      </c>
    </row>
  </sheetData>
  <mergeCells count="1">
    <mergeCell ref="A1:D1"/>
  </mergeCells>
  <conditionalFormatting sqref="B4:B12">
    <cfRule type="expression" dxfId="2" priority="1">
      <formula>B4="Oui"</formula>
    </cfRule>
    <cfRule type="expression" dxfId="1" priority="2">
      <formula>B4="Partiel"</formula>
    </cfRule>
    <cfRule type="expression" dxfId="0" priority="3">
      <formula>B4="Non"</formula>
    </cfRule>
  </conditionalFormatting>
  <dataValidations count="1">
    <dataValidation type="list" sqref="B4:B12" xr:uid="{00000000-0002-0000-0300-000000000000}">
      <formula1>"Oui,Partiel,Non"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Release Planning</vt:lpstr>
      <vt:lpstr>Burnup global</vt:lpstr>
      <vt:lpstr>Hypothèses &amp; perturbations</vt:lpstr>
      <vt:lpstr>Auto-évaluation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HOANG</cp:lastModifiedBy>
  <dcterms:modified xsi:type="dcterms:W3CDTF">2026-07-02T17:50:35Z</dcterms:modified>
</cp:coreProperties>
</file>